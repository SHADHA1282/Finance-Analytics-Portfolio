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" sheetId="1" r:id="rId5"/>
    <sheet state="visible" name="Forecast" sheetId="2" r:id="rId6"/>
    <sheet state="visible" name="Combined" sheetId="3" r:id="rId7"/>
  </sheets>
  <definedNames/>
  <calcPr/>
</workbook>
</file>

<file path=xl/sharedStrings.xml><?xml version="1.0" encoding="utf-8"?>
<sst xmlns="http://schemas.openxmlformats.org/spreadsheetml/2006/main" count="31" uniqueCount="14">
  <si>
    <t>Year</t>
  </si>
  <si>
    <t>Revenue</t>
  </si>
  <si>
    <t>Expense</t>
  </si>
  <si>
    <t>Net Profit</t>
  </si>
  <si>
    <t>Growth%</t>
  </si>
  <si>
    <t>Prepared by SHADHA SHERIN | ACCA Candidate | Finance &amp; Data Analytics</t>
  </si>
  <si>
    <t>Financial Forecast Report 2025-2029</t>
  </si>
  <si>
    <t>Total Forecast Revenue</t>
  </si>
  <si>
    <t>Total Forecast Profit</t>
  </si>
  <si>
    <t>Average Growth</t>
  </si>
  <si>
    <t>Best Year</t>
  </si>
  <si>
    <t>Type</t>
  </si>
  <si>
    <t>Historical</t>
  </si>
  <si>
    <t>Forecast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</si>
</sst>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theme="8"/>
        <bgColor theme="8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9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1" fillId="3" fontId="1" numFmtId="1" xfId="0" applyBorder="1" applyFill="1" applyFont="1" applyNumberFormat="1"/>
    <xf borderId="1" fillId="4" fontId="1" numFmtId="1" xfId="0" applyBorder="1" applyFill="1" applyFont="1" applyNumberFormat="1"/>
    <xf borderId="1" fillId="5" fontId="1" numFmtId="1" xfId="0" applyBorder="1" applyFill="1" applyFont="1" applyNumberFormat="1"/>
    <xf borderId="2" fillId="0" fontId="2" numFmtId="0" xfId="0" applyAlignment="1" applyBorder="1" applyFont="1">
      <alignment readingOrder="0"/>
    </xf>
    <xf borderId="3" fillId="0" fontId="2" numFmtId="1" xfId="0" applyBorder="1" applyFont="1" applyNumberFormat="1"/>
    <xf borderId="4" fillId="0" fontId="2" numFmtId="0" xfId="0" applyAlignment="1" applyBorder="1" applyFont="1">
      <alignment readingOrder="0"/>
    </xf>
    <xf borderId="5" fillId="0" fontId="2" numFmtId="1" xfId="0" applyBorder="1" applyFont="1" applyNumberFormat="1"/>
    <xf borderId="5" fillId="0" fontId="2" numFmtId="9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7" fillId="0" fontId="2" numFmtId="1" xfId="0" applyAlignment="1" applyBorder="1" applyFont="1" applyNumberFormat="1">
      <alignment readingOrder="0"/>
    </xf>
    <xf borderId="0" fillId="0" fontId="2" numFmtId="0" xfId="0" applyFont="1"/>
    <xf borderId="0" fillId="0" fontId="2" numFmtId="1" xfId="0" applyFont="1" applyNumberFormat="1"/>
    <xf borderId="1" fillId="6" fontId="1" numFmtId="0" xfId="0" applyAlignment="1" applyBorder="1" applyFill="1" applyFont="1">
      <alignment readingOrder="0"/>
    </xf>
    <xf borderId="1" fillId="7" fontId="1" numFmtId="1" xfId="0" applyBorder="1" applyFill="1" applyFont="1" applyNumberFormat="1"/>
    <xf borderId="1" fillId="7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Forecast 2025-2029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Forecast!$B$2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Forecast!$A$3:$A$8</c:f>
            </c:strRef>
          </c:cat>
          <c:val>
            <c:numRef>
              <c:f>Forecast!$B$3:$B$8</c:f>
              <c:numCache/>
            </c:numRef>
          </c:val>
          <c:smooth val="0"/>
        </c:ser>
        <c:ser>
          <c:idx val="1"/>
          <c:order val="1"/>
          <c:tx>
            <c:strRef>
              <c:f>Forecast!$A$2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Forecast!$A$3:$A$8</c:f>
            </c:strRef>
          </c:cat>
          <c:val>
            <c:numRef>
              <c:f>Forecast!$A$3:$A$8</c:f>
              <c:numCache/>
            </c:numRef>
          </c:val>
          <c:smooth val="0"/>
        </c:ser>
        <c:axId val="745529186"/>
        <c:axId val="1947667603"/>
      </c:lineChart>
      <c:catAx>
        <c:axId val="745529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667603"/>
      </c:catAx>
      <c:valAx>
        <c:axId val="1947667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529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Projected Net Profit Growth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Forecast!$A$2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Forecast!$A$3:$A$8</c:f>
            </c:strRef>
          </c:cat>
          <c:val>
            <c:numRef>
              <c:f>Forecast!$A$3:$A$8</c:f>
              <c:numCache/>
            </c:numRef>
          </c:val>
        </c:ser>
        <c:ser>
          <c:idx val="1"/>
          <c:order val="1"/>
          <c:tx>
            <c:strRef>
              <c:f>Forecast!$D$2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Forecast!$A$3:$A$8</c:f>
            </c:strRef>
          </c:cat>
          <c:val>
            <c:numRef>
              <c:f>Forecast!$D$3:$D$8</c:f>
              <c:numCache/>
            </c:numRef>
          </c:val>
        </c:ser>
        <c:axId val="944903212"/>
        <c:axId val="97070221"/>
      </c:barChart>
      <c:catAx>
        <c:axId val="9449032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70221"/>
      </c:catAx>
      <c:valAx>
        <c:axId val="970702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9032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Historical vs Forecast Revenue 2020-2029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Combined!$A$1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Combined!$A$2:$A$11</c:f>
              <c:numCache/>
            </c:numRef>
          </c:val>
        </c:ser>
        <c:ser>
          <c:idx val="1"/>
          <c:order val="1"/>
          <c:tx>
            <c:strRef>
              <c:f>Combined!$B$1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Combined!$B$2:$B$11</c:f>
              <c:numCache/>
            </c:numRef>
          </c:val>
        </c:ser>
        <c:ser>
          <c:idx val="2"/>
          <c:order val="2"/>
          <c:tx>
            <c:strRef>
              <c:f>Combined!$C$1</c:f>
            </c:strRef>
          </c:tx>
          <c:val>
            <c:numRef>
              <c:f>Combined!$C$2:$C$11</c:f>
              <c:numCache/>
            </c:numRef>
          </c:val>
        </c:ser>
        <c:axId val="486689862"/>
        <c:axId val="1940921893"/>
      </c:barChart>
      <c:catAx>
        <c:axId val="486689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921893"/>
      </c:catAx>
      <c:valAx>
        <c:axId val="1940921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689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8</xdr:row>
      <xdr:rowOff>123825</xdr:rowOff>
    </xdr:from>
    <xdr:ext cx="5000625" cy="3095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523875</xdr:colOff>
      <xdr:row>8</xdr:row>
      <xdr:rowOff>123825</xdr:rowOff>
    </xdr:from>
    <xdr:ext cx="5048250" cy="3095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0</xdr:row>
      <xdr:rowOff>85725</xdr:rowOff>
    </xdr:from>
    <xdr:ext cx="4667250" cy="2886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2020.0</v>
      </c>
      <c r="B2" s="1">
        <v>500000.0</v>
      </c>
      <c r="C2" s="1">
        <v>380000.0</v>
      </c>
      <c r="D2" s="1">
        <v>120000.0</v>
      </c>
      <c r="E2" s="2"/>
    </row>
    <row r="3">
      <c r="A3" s="1">
        <v>2021.0</v>
      </c>
      <c r="B3" s="1">
        <v>575000.0</v>
      </c>
      <c r="C3" s="1">
        <v>425000.0</v>
      </c>
      <c r="D3" s="1">
        <v>150000.0</v>
      </c>
      <c r="E3" s="3">
        <v>0.15</v>
      </c>
    </row>
    <row r="4">
      <c r="A4" s="1">
        <v>2022.0</v>
      </c>
      <c r="B4" s="1">
        <v>650000.0</v>
      </c>
      <c r="C4" s="1">
        <v>470000.0</v>
      </c>
      <c r="D4" s="1">
        <v>180000.0</v>
      </c>
      <c r="E4" s="3">
        <v>0.13</v>
      </c>
    </row>
    <row r="5">
      <c r="A5" s="1">
        <v>2023.0</v>
      </c>
      <c r="B5" s="1">
        <v>740000.0</v>
      </c>
      <c r="C5" s="1">
        <v>520000.0</v>
      </c>
      <c r="D5" s="1">
        <v>220000.0</v>
      </c>
      <c r="E5" s="3">
        <v>0.14</v>
      </c>
    </row>
    <row r="6">
      <c r="A6" s="1">
        <v>2024.0</v>
      </c>
      <c r="B6" s="1">
        <v>850000.0</v>
      </c>
      <c r="C6" s="1">
        <v>590000.0</v>
      </c>
      <c r="D6" s="1">
        <v>260000.0</v>
      </c>
      <c r="E6" s="3">
        <v>0.15</v>
      </c>
    </row>
    <row r="9">
      <c r="C9" s="4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38"/>
  </cols>
  <sheetData>
    <row r="1">
      <c r="A1" s="5"/>
      <c r="B1" s="5"/>
      <c r="C1" s="5"/>
      <c r="D1" s="5"/>
      <c r="E1" s="6" t="s">
        <v>6</v>
      </c>
      <c r="F1" s="7"/>
      <c r="G1" s="7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>
        <v>2025.0</v>
      </c>
      <c r="B3" s="8">
        <f>Historical!B6*1.14</f>
        <v>969000</v>
      </c>
      <c r="C3" s="9">
        <f t="shared" ref="C3:C7" si="1">B3*0.68</f>
        <v>658920</v>
      </c>
      <c r="D3" s="10">
        <f t="shared" ref="D3:D7" si="2">B3-C3</f>
        <v>310080</v>
      </c>
      <c r="E3" s="3">
        <v>0.14</v>
      </c>
      <c r="G3" s="11" t="s">
        <v>7</v>
      </c>
      <c r="H3" s="12">
        <f>sum(B3:B7)</f>
        <v>6405190.931</v>
      </c>
    </row>
    <row r="4">
      <c r="A4" s="1">
        <v>2026.0</v>
      </c>
      <c r="B4" s="8">
        <f t="shared" ref="B4:B7" si="3">B3*1.14</f>
        <v>1104660</v>
      </c>
      <c r="C4" s="9">
        <f t="shared" si="1"/>
        <v>751168.8</v>
      </c>
      <c r="D4" s="10">
        <f t="shared" si="2"/>
        <v>353491.2</v>
      </c>
      <c r="E4" s="3">
        <v>0.14</v>
      </c>
      <c r="G4" s="13" t="s">
        <v>8</v>
      </c>
      <c r="H4" s="14">
        <f>sum(D3:D7)</f>
        <v>2049661.098</v>
      </c>
    </row>
    <row r="5">
      <c r="A5" s="1">
        <v>2027.0</v>
      </c>
      <c r="B5" s="8">
        <f t="shared" si="3"/>
        <v>1259312.4</v>
      </c>
      <c r="C5" s="9">
        <f t="shared" si="1"/>
        <v>856332.432</v>
      </c>
      <c r="D5" s="10">
        <f t="shared" si="2"/>
        <v>402979.968</v>
      </c>
      <c r="E5" s="3">
        <v>0.14</v>
      </c>
      <c r="G5" s="13" t="s">
        <v>9</v>
      </c>
      <c r="H5" s="15">
        <v>0.14</v>
      </c>
    </row>
    <row r="6">
      <c r="A6" s="1">
        <v>2028.0</v>
      </c>
      <c r="B6" s="8">
        <f t="shared" si="3"/>
        <v>1435616.136</v>
      </c>
      <c r="C6" s="9">
        <f t="shared" si="1"/>
        <v>976218.9725</v>
      </c>
      <c r="D6" s="10">
        <f t="shared" si="2"/>
        <v>459397.1635</v>
      </c>
      <c r="E6" s="3">
        <v>0.14</v>
      </c>
      <c r="G6" s="16" t="s">
        <v>10</v>
      </c>
      <c r="H6" s="17">
        <v>2029.0</v>
      </c>
    </row>
    <row r="7">
      <c r="A7" s="1">
        <v>2029.0</v>
      </c>
      <c r="B7" s="8">
        <f t="shared" si="3"/>
        <v>1636602.395</v>
      </c>
      <c r="C7" s="9">
        <f t="shared" si="1"/>
        <v>1112889.629</v>
      </c>
      <c r="D7" s="10">
        <f t="shared" si="2"/>
        <v>523712.7664</v>
      </c>
      <c r="E7" s="3">
        <v>0.14</v>
      </c>
      <c r="G7" s="18"/>
      <c r="H7" s="19"/>
    </row>
    <row r="8">
      <c r="G8" s="18"/>
      <c r="H8" s="19"/>
    </row>
    <row r="9">
      <c r="G9" s="18"/>
      <c r="H9" s="19"/>
    </row>
    <row r="27">
      <c r="F27" s="4" t="s">
        <v>5</v>
      </c>
    </row>
    <row r="28">
      <c r="H28" s="18"/>
      <c r="I28" s="18"/>
      <c r="J28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11</v>
      </c>
    </row>
    <row r="2">
      <c r="A2" s="1">
        <v>2020.0</v>
      </c>
      <c r="B2" s="20">
        <v>500000.0</v>
      </c>
      <c r="C2" s="20" t="s">
        <v>12</v>
      </c>
    </row>
    <row r="3">
      <c r="A3" s="1">
        <v>2021.0</v>
      </c>
      <c r="B3" s="20">
        <v>575000.0</v>
      </c>
      <c r="C3" s="20" t="s">
        <v>12</v>
      </c>
    </row>
    <row r="4">
      <c r="A4" s="1">
        <v>2022.0</v>
      </c>
      <c r="B4" s="20">
        <v>650000.0</v>
      </c>
      <c r="C4" s="20" t="s">
        <v>12</v>
      </c>
    </row>
    <row r="5">
      <c r="A5" s="1">
        <v>2023.0</v>
      </c>
      <c r="B5" s="20">
        <v>740000.0</v>
      </c>
      <c r="C5" s="20" t="s">
        <v>12</v>
      </c>
    </row>
    <row r="6">
      <c r="A6" s="1">
        <v>2024.0</v>
      </c>
      <c r="B6" s="20">
        <v>850000.0</v>
      </c>
      <c r="C6" s="20" t="s">
        <v>12</v>
      </c>
    </row>
    <row r="7">
      <c r="A7" s="1">
        <v>2025.0</v>
      </c>
      <c r="B7" s="21">
        <f t="shared" ref="B7:B11" si="1">B6*1.14</f>
        <v>969000</v>
      </c>
      <c r="C7" s="22" t="s">
        <v>13</v>
      </c>
    </row>
    <row r="8">
      <c r="A8" s="1">
        <v>2026.0</v>
      </c>
      <c r="B8" s="21">
        <f t="shared" si="1"/>
        <v>1104660</v>
      </c>
      <c r="C8" s="22" t="s">
        <v>13</v>
      </c>
    </row>
    <row r="9">
      <c r="A9" s="1">
        <v>2027.0</v>
      </c>
      <c r="B9" s="21">
        <f t="shared" si="1"/>
        <v>1259312.4</v>
      </c>
      <c r="C9" s="22" t="s">
        <v>13</v>
      </c>
    </row>
    <row r="10">
      <c r="A10" s="1">
        <v>2028.0</v>
      </c>
      <c r="B10" s="21">
        <f t="shared" si="1"/>
        <v>1435616.136</v>
      </c>
      <c r="C10" s="22" t="s">
        <v>13</v>
      </c>
    </row>
    <row r="11">
      <c r="A11" s="1">
        <v>2029.0</v>
      </c>
      <c r="B11" s="21">
        <f t="shared" si="1"/>
        <v>1636602.395</v>
      </c>
      <c r="C11" s="22" t="s">
        <v>13</v>
      </c>
    </row>
    <row r="18">
      <c r="D18" s="4" t="s">
        <v>5</v>
      </c>
    </row>
  </sheetData>
  <drawing r:id="rId1"/>
</worksheet>
</file>